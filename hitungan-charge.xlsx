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50" windowHeight="12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<sst xmlns="http://schemas.openxmlformats.org/spreadsheetml/2006/main" count="20" uniqueCount="20">
  <si>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Masukkan</t>
  </si>
  <si>
    <t>Perjalanan per pekan</t>
  </si>
  <si>
    <t>km</t>
  </si>
  <si>
    <t>Kekuatan arus</t>
  </si>
  <si>
    <t>A</t>
  </si>
  <si>
    <t>Default</t>
  </si>
  <si>
    <t>Efisiensi daya Chery Q</t>
  </si>
  <si>
    <t>km/kWh</t>
  </si>
  <si>
    <t>Voltage</t>
  </si>
  <si>
    <t>V</t>
  </si>
  <si>
    <t>Efisiensi charging</t>
  </si>
  <si>
    <t>%</t>
  </si>
  <si>
    <t>Waktu sekali charge</t>
  </si>
  <si>
    <t>jam</t>
  </si>
  <si>
    <t>Perhitungan</t>
  </si>
  <si>
    <t>Kebutuhan daya</t>
  </si>
  <si>
    <t>kWh/pekan</t>
  </si>
  <si>
    <t>Waktu charge</t>
  </si>
  <si>
    <t>Frekuensi change</t>
  </si>
  <si>
    <t>kali/pekan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</si>
</sst>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17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15"/>
  <sheetViews>
    <sheetView tabSelected="1" workbookViewId="0">
      <selection activeCell="B11" sqref="B11"/>
    </sheetView>
  </sheetViews>
  <sheetFormatPr defaultColWidth="8.72727272727273" defaultRowHeight="14.5" outlineLevelCol="2"/>
  <cols>
    <col min="1" max="1" width="25.7272727272727" customWidth="1"/>
    <col min="2" max="2" width="14"/>
  </cols>
  <sheetData>
    <row r="2" spans="1:3">
      <c r="A2" s="1" t="s">
        <v>0</v>
      </c>
    </row>
    <row r="3" spans="1:3">
      <c r="A3" t="s">
        <v>1</v>
      </c>
      <c r="B3">
        <v>350</v>
      </c>
      <c r="C3" t="s">
        <v>2</v>
      </c>
    </row>
    <row r="4" spans="1:3">
      <c r="A4" t="s">
        <v>3</v>
      </c>
      <c r="B4">
        <v>8</v>
      </c>
      <c r="C4" t="s">
        <v>4</v>
      </c>
    </row>
    <row r="6" spans="1:3">
      <c r="A6" s="1" t="s">
        <v>5</v>
      </c>
    </row>
    <row r="7" spans="1:3">
      <c r="A7" t="s">
        <v>6</v>
      </c>
      <c r="B7">
        <v>7.1</v>
      </c>
      <c r="C7" t="s">
        <v>7</v>
      </c>
    </row>
    <row r="8" spans="1:3">
      <c r="A8" t="s">
        <v>8</v>
      </c>
      <c r="B8">
        <v>220</v>
      </c>
      <c r="C8" t="s">
        <v>9</v>
      </c>
    </row>
    <row r="9" spans="1:3">
      <c r="A9" t="s">
        <v>10</v>
      </c>
      <c r="B9">
        <v>90</v>
      </c>
      <c r="C9" t="s">
        <v>11</v>
      </c>
    </row>
    <row r="10" spans="1:3">
      <c r="A10" t="s">
        <v>12</v>
      </c>
      <c r="B10">
        <v>8</v>
      </c>
      <c r="C10" t="s">
        <v>13</v>
      </c>
    </row>
    <row r="12" spans="1:3">
      <c r="A12" s="1" t="s">
        <v>14</v>
      </c>
    </row>
    <row r="13" spans="1:3">
      <c r="A13" t="s">
        <v>15</v>
      </c>
      <c r="B13" s="2">
        <f xml:space="preserve">B3/B7</f>
        <v>49.2957746478873</v>
      </c>
      <c r="C13" t="s">
        <v>16</v>
      </c>
    </row>
    <row r="14" spans="1:3">
      <c r="A14" t="s">
        <v>17</v>
      </c>
      <c r="B14" s="2" t="str">
        <f xml:space="preserve">INT(100/B9*B13/(B8/1000*B4))&amp;" jam "&amp;ROUND(MOD(100/B9*B13/(B8/1000*B4),1)*60,0)&amp;" menit"</f>
        <v>31 jam 7 menit</v>
      </c>
    </row>
    <row r="15" spans="1:3">
      <c r="A15" t="s">
        <v>18</v>
      </c>
      <c r="B15">
        <f xml:space="preserve">ROUNDUP(100/B9*B13/(B8/1000*B4)/B10, 0)</f>
        <v>4</v>
      </c>
      <c r="C15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2026-10-17T04:33:08Z</dcterms:created>
  <dcterms:modified xsi:type="dcterms:W3CDTF">2026-10-17T06:35:48Z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05942F7E22814A80B51A7F79070DC904_11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